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dator\Dropbox\Frankfurt Gothe\Lab NoteBook and Data\Martin Collabration Data Analysis\Martin_11_RAAB_IP_Phospho\Phospho Analisis\"/>
    </mc:Choice>
  </mc:AlternateContent>
  <xr:revisionPtr revIDLastSave="0" documentId="13_ncr:1_{94868FCA-6820-4BE6-872A-816F181F55F1}" xr6:coauthVersionLast="45" xr6:coauthVersionMax="45" xr10:uidLastSave="{00000000-0000-0000-0000-000000000000}"/>
  <bookViews>
    <workbookView xWindow="-120" yWindow="-120" windowWidth="29040" windowHeight="15840" xr2:uid="{921F7423-1825-4A58-A30D-BD421B76F961}"/>
  </bookViews>
  <sheets>
    <sheet name="Sheet1" sheetId="1" r:id="rId1"/>
  </sheets>
  <definedNames>
    <definedName name="_xlnm._FilterDatabase" localSheetId="0" hidden="1">Sheet1!$A$1:$AZ$1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1" i="1" l="1"/>
  <c r="AU16" i="1"/>
  <c r="AU15" i="1"/>
  <c r="AU14" i="1"/>
  <c r="AU21" i="1"/>
  <c r="AU13" i="1"/>
  <c r="AU5" i="1"/>
  <c r="AU2" i="1"/>
  <c r="AU8" i="1"/>
  <c r="AU17" i="1"/>
  <c r="AU6" i="1"/>
  <c r="AU3" i="1"/>
  <c r="AU12" i="1"/>
  <c r="AU7" i="1"/>
  <c r="AU19" i="1"/>
  <c r="AU10" i="1"/>
  <c r="AU18" i="1"/>
  <c r="AU4" i="1"/>
  <c r="AU9" i="1"/>
  <c r="AU20" i="1"/>
</calcChain>
</file>

<file path=xl/sharedStrings.xml><?xml version="1.0" encoding="utf-8"?>
<sst xmlns="http://schemas.openxmlformats.org/spreadsheetml/2006/main" count="230" uniqueCount="152">
  <si>
    <t>Checked</t>
  </si>
  <si>
    <t>Confidence</t>
  </si>
  <si>
    <t>Annotated Sequence</t>
  </si>
  <si>
    <t>Modifications</t>
  </si>
  <si>
    <t>Contaminant</t>
  </si>
  <si>
    <t>Qvality PEP</t>
  </si>
  <si>
    <t>Qvality q-value</t>
  </si>
  <si>
    <t># Protein Groups</t>
  </si>
  <si>
    <t># Proteins</t>
  </si>
  <si>
    <t># Isoforms</t>
  </si>
  <si>
    <t># PSMs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</si>
  <si>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</si>
  <si>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</si>
  <si>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</si>
  <si>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</si>
  <si>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</si>
  <si>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Abundances (Normalized): F1: 126, Sample</t>
  </si>
  <si>
    <t>Abundances (Normalized): F1: 127N, Sample</t>
  </si>
  <si>
    <t>Abundances (Normalized): F1: 127C, Sample</t>
  </si>
  <si>
    <t>Abundances (Normalized): F1: 128N, Sample</t>
  </si>
  <si>
    <t>Abundances (Normalized): F1: 128C, Sample</t>
  </si>
  <si>
    <t>Abundances (Normalized): F1: 129N, Sample</t>
  </si>
  <si>
    <t>Abundances (Normalized): F1: 129C, Sample</t>
  </si>
  <si>
    <t>Abundances (Normalized): F1: 130N, Sample</t>
  </si>
  <si>
    <t>Abundances (Normalized): F1: 130C, Sample</t>
  </si>
  <si>
    <t>Abundances (Normalized): F1: 131N, Sample</t>
  </si>
  <si>
    <t>Abundances (Normalized): F1: 131C, Sample</t>
  </si>
  <si>
    <t>Abundances (Normalized): F1: 132N, Sample</t>
  </si>
  <si>
    <t>Abundances (Normalized): F1: 132C, Sample</t>
  </si>
  <si>
    <t>Abundances (Normalized): F1: 133N, Sample</t>
  </si>
  <si>
    <t>Abundances (Normalized): F1: 133C, Sample</t>
  </si>
  <si>
    <t>Abundance: F1: 126, Sample</t>
  </si>
  <si>
    <t>Abundance: F1: 127N, Sample</t>
  </si>
  <si>
    <t>Abundance: F1: 127C, Sample</t>
  </si>
  <si>
    <t>Abundance: F1: 128N, Sample</t>
  </si>
  <si>
    <t>Abundance: F1: 128C, Sample</t>
  </si>
  <si>
    <t>Abundance: F1: 129N, Sample</t>
  </si>
  <si>
    <t>Abundance: F1: 129C, Sample</t>
  </si>
  <si>
    <t>Abundance: F1: 130N, Sample</t>
  </si>
  <si>
    <t>Abundance: F1: 130C, Sample</t>
  </si>
  <si>
    <t>Abundance: F1: 131N, Sample</t>
  </si>
  <si>
    <t>Abundance: F1: 131C, Sample</t>
  </si>
  <si>
    <t>Abundance: F1: 132N, Sample</t>
  </si>
  <si>
    <t>Abundance: F1: 132C, Sample</t>
  </si>
  <si>
    <t>Abundance: F1: 133N, Sample</t>
  </si>
  <si>
    <t>Abundance: F1: 133C, Sample</t>
  </si>
  <si>
    <t>Quan Info</t>
  </si>
  <si>
    <t>Confidence (by Search Engine): Sequest HT</t>
  </si>
  <si>
    <t>Percolator q-Value (by Search Engine): Sequest HT</t>
  </si>
  <si>
    <t>Percolator PEP (by Search Engine): Sequest HT</t>
  </si>
  <si>
    <t>XCorr (by Search Engine): Sequest HT</t>
  </si>
  <si>
    <t>High</t>
  </si>
  <si>
    <t/>
  </si>
  <si>
    <t>[R].SLYASSPGGVYATR.[S]</t>
  </si>
  <si>
    <t>1xTMTpro [N-Term]; 1xPhospho [S6(100)]</t>
  </si>
  <si>
    <t>P08670</t>
  </si>
  <si>
    <t>P08670 [51-64]</t>
  </si>
  <si>
    <t>P08670 1xPhospho [S56(100)]</t>
  </si>
  <si>
    <t>[R].AQQELVPPQQQASPPQLPK.[A]</t>
  </si>
  <si>
    <t>1xTMTpro [K19]; 1xTMTpro [N-Term]; 1xPhospho [S13(100)]</t>
  </si>
  <si>
    <t>O15027</t>
  </si>
  <si>
    <t>O15027 [1057-1075]</t>
  </si>
  <si>
    <t>O15027 1xPhospho [S1069(100)]</t>
  </si>
  <si>
    <t>[RC].QVSASELHTSGILGPETLR.[D]</t>
  </si>
  <si>
    <t>1xTMTpro [N-Term]; 1xPhospho [S3(100)]</t>
  </si>
  <si>
    <t>P58107</t>
  </si>
  <si>
    <t>P58107 [2716-2734]; [3247-3265]; [3781-3799]; [4315-4333]; [4848-4866]</t>
  </si>
  <si>
    <t>P58107 1xPhospho [S2718(100)]; 1xPhospho [S3249(100)]; 1xPhospho [S3783(100)]; 1xPhospho [S4317(100)]; 1xPhospho [S4850(100)]</t>
  </si>
  <si>
    <t>[K].AQLEPVASPAK.[K]</t>
  </si>
  <si>
    <t>1xTMTpro [K11]; 1xTMTpro [N-Term]; 1xPhospho [S8(100)]</t>
  </si>
  <si>
    <t>Q15149</t>
  </si>
  <si>
    <t>Q15149 [1428-1438]</t>
  </si>
  <si>
    <t>Q15149 1xPhospho [S1435(100)]</t>
  </si>
  <si>
    <t>[R].RRHTIASGVDCGLLK.[Q]</t>
  </si>
  <si>
    <t>1xCarbamidomethyl [C11]; 1xTMTpro [K15]; 1xTMTpro [N-Term]; 1xPhospho [T/S]</t>
  </si>
  <si>
    <t>Q86UD0</t>
  </si>
  <si>
    <t>Q86UD0 [216-230]</t>
  </si>
  <si>
    <t>[K].SESPKEPEQLR.[K]</t>
  </si>
  <si>
    <t>1xTMTpro [K5]; 1xTMTpro [N-Term]; 1xPhospho [S3(100)]</t>
  </si>
  <si>
    <t>P09651</t>
  </si>
  <si>
    <t>P09651 [4-14]</t>
  </si>
  <si>
    <t>P09651 1xPhospho [S6(100)]</t>
  </si>
  <si>
    <t>Shared</t>
  </si>
  <si>
    <t>[K].NLQSAEEWYK.[S]</t>
  </si>
  <si>
    <t>1xTMTpro [K10]; 1xTMTpro [N-Term]; 1xPhospho [S4(100)]</t>
  </si>
  <si>
    <t>Q16352</t>
  </si>
  <si>
    <t>Q16352 [279-288]</t>
  </si>
  <si>
    <t>Q16352 1xPhospho [S282(100)]</t>
  </si>
  <si>
    <t>[R].ADSGPTQPPLSLSPAPETK.[R]</t>
  </si>
  <si>
    <t>1xTMTpro [K19]; 1xTMTpro [N-Term]; 1xPhospho [S13(99.6)]</t>
  </si>
  <si>
    <t>O15027 [2071-2089]</t>
  </si>
  <si>
    <t>O15027 1xPhospho [S2083(99.6)]</t>
  </si>
  <si>
    <t>1xTMTpro [N-Term]; 1xPhospho [T/S]</t>
  </si>
  <si>
    <t>[R].TQPDGTSVPGEPASPISQR.[L]</t>
  </si>
  <si>
    <t>Q14980</t>
  </si>
  <si>
    <t>Q14980 [1744-1762]</t>
  </si>
  <si>
    <t>[K].GSVPLSSSPPATHFPDETEITNPVPK.[K]</t>
  </si>
  <si>
    <t>1xTMTpro [K26]; 1xTMTpro [N-Term]; 1xPhospho [S8(98.8)]</t>
  </si>
  <si>
    <t>P11388</t>
  </si>
  <si>
    <t>P11388 [1386-1411]</t>
  </si>
  <si>
    <t>P11388 1xPhospho [S1393(98.8)]</t>
  </si>
  <si>
    <t>[R].DVYLSPRDDGYSTK.[D]</t>
  </si>
  <si>
    <t>1xTMTpro [K14]; 1xTMTpro [N-Term]; 1xPhospho [S5(100)]</t>
  </si>
  <si>
    <t>P38159; Q96E39</t>
  </si>
  <si>
    <t>P38159 [204-217]; Q96E39 [204-217]</t>
  </si>
  <si>
    <t>P38159 1xPhospho [S208(100)]; Q96E39 1xPhospho [S208(100)]</t>
  </si>
  <si>
    <t>Q9NR30</t>
  </si>
  <si>
    <t>[R].KKTLCGTPNYIAPEVLSK.[K]</t>
  </si>
  <si>
    <t>1xCarbamidomethyl [C5]; 3xTMTpro [K1; K2; K18]; 1xTMTpro [N-Term]; 1xPhospho [T3(100)]</t>
  </si>
  <si>
    <t>P53350</t>
  </si>
  <si>
    <t>P53350 [208-225]</t>
  </si>
  <si>
    <t>P53350 1xPhospho [T210(100)]</t>
  </si>
  <si>
    <t>[K].KKAEPSEVDMNSPK.[S]</t>
  </si>
  <si>
    <t>3xTMTpro [K1; K2; K14]; 1xTMTpro [N-Term]; 1xPhospho [S12(100)]</t>
  </si>
  <si>
    <t>Q9NR30 [60-73]</t>
  </si>
  <si>
    <t>Q9NR30 1xPhospho [S71(100)]</t>
  </si>
  <si>
    <t>[R].HEISVETQDHK.[S]</t>
  </si>
  <si>
    <t>1xTMTpro [K11]; 1xTMTpro [N-Term]; 2xPhospho [S4(100); T7(100)]</t>
  </si>
  <si>
    <t>Q8N292</t>
  </si>
  <si>
    <t>Q8N292 [71-81]</t>
  </si>
  <si>
    <t>Q8N292 2xPhospho [S74(100); T77(100)]</t>
  </si>
  <si>
    <t>[R].EGPYGLIICPSRELAR.[Q]</t>
  </si>
  <si>
    <t>1xCarbamidomethyl [C9]; 1xTMTpro [N-Term]; 1xPhospho [S11(100)]</t>
  </si>
  <si>
    <t>Q9UJV9</t>
  </si>
  <si>
    <t>Q9UJV9 [256-271]</t>
  </si>
  <si>
    <t>Q9UJV9 1xPhospho [S266(100)]</t>
  </si>
  <si>
    <t>[R].ETPHSPGVEDAPIAK.[V]</t>
  </si>
  <si>
    <t>1xTMTpro [K15]; 1xTMTpro [N-Term]; 1xPhospho [S5(100)]</t>
  </si>
  <si>
    <t>Q9UHB6</t>
  </si>
  <si>
    <t>Q9UHB6 [486-500]</t>
  </si>
  <si>
    <t>Q9UHB6 1xPhospho [S490(100)]</t>
  </si>
  <si>
    <t>[K].EIPSATQSPISK.[K]</t>
  </si>
  <si>
    <t>1xTMTpro [K12]; 1xTMTpro [N-Term]; 1xPhospho [S8(100)]</t>
  </si>
  <si>
    <t>Q9BQG0</t>
  </si>
  <si>
    <t>Q9BQG0 [1156-1167]</t>
  </si>
  <si>
    <t>Q9BQG0 1xPhospho [S1163(100)]</t>
  </si>
  <si>
    <t>[K].KVVVSPTKK.[V]</t>
  </si>
  <si>
    <t>3xTMTpro [K1; K8; K9]; 1xTMTpro [N-Term]; 1xPhospho [S5(100)]</t>
  </si>
  <si>
    <t>P19338</t>
  </si>
  <si>
    <t>P19338 [63-71]</t>
  </si>
  <si>
    <t>P19338 1xPhospho [S67(100)]</t>
  </si>
  <si>
    <t>[K].LEALQKTTPIR.[S]</t>
  </si>
  <si>
    <t>1xTMTpro [K6]; 1xTMTpro [N-Term]; 2xPhospho [T7(100); T8(100)]</t>
  </si>
  <si>
    <t>Q9Y6X9</t>
  </si>
  <si>
    <t>Q9Y6X9 [575-585]</t>
  </si>
  <si>
    <t>Q9Y6X9 2xPhospho [T581(100); T582(100)]</t>
  </si>
  <si>
    <t>[R].DLLSWMESIIR.[Q]</t>
  </si>
  <si>
    <t>1xTMTpro [N-Term]; 1xPhospho [S8(100)]</t>
  </si>
  <si>
    <t>P11277</t>
  </si>
  <si>
    <t>P11277 [1914-1924]</t>
  </si>
  <si>
    <t>P11277 1xPhospho [S1921(100)]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</si>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</sst>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F395-FF6B-4E03-B151-F2D6EDBC932C}">
  <dimension ref="A1:AZ21"/>
  <sheetViews>
    <sheetView tabSelected="1" topLeftCell="D1" workbookViewId="0">
      <selection activeCell="L1" sqref="L1"/>
    </sheetView>
  </sheetViews>
  <sheetFormatPr defaultRowHeight="15" x14ac:dyDescent="0.25"/>
  <cols>
    <col min="3" max="3" width="54.85546875" bestFit="1" customWidth="1"/>
    <col min="4" max="4" width="20.42578125" customWidth="1"/>
    <col min="12" max="12" width="26.85546875" bestFit="1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151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 x14ac:dyDescent="0.25">
      <c r="A2" s="2" t="b">
        <v>0</v>
      </c>
      <c r="B2" s="2" t="s">
        <v>51</v>
      </c>
      <c r="C2" s="2" t="s">
        <v>93</v>
      </c>
      <c r="D2" s="2" t="s">
        <v>92</v>
      </c>
      <c r="E2" s="2" t="b">
        <v>0</v>
      </c>
      <c r="F2" s="2">
        <v>8.13194E-2</v>
      </c>
      <c r="G2" s="2">
        <v>6.2667E-3</v>
      </c>
      <c r="H2" s="2">
        <v>1</v>
      </c>
      <c r="I2" s="2">
        <v>1</v>
      </c>
      <c r="J2" s="2">
        <v>1</v>
      </c>
      <c r="K2" s="2">
        <v>1</v>
      </c>
      <c r="L2" s="2" t="s">
        <v>94</v>
      </c>
      <c r="M2" s="2" t="s">
        <v>95</v>
      </c>
      <c r="N2" s="2" t="s">
        <v>52</v>
      </c>
      <c r="O2" s="2">
        <v>0</v>
      </c>
      <c r="P2" s="2">
        <v>2308.1141400000001</v>
      </c>
      <c r="Q2" s="2">
        <v>50.3</v>
      </c>
      <c r="R2" s="2">
        <v>58.1</v>
      </c>
      <c r="S2" s="2">
        <v>102</v>
      </c>
      <c r="T2" s="2">
        <v>35</v>
      </c>
      <c r="U2" s="2">
        <v>61.9</v>
      </c>
      <c r="V2" s="2">
        <v>69.599999999999994</v>
      </c>
      <c r="W2" s="2">
        <v>74.099999999999994</v>
      </c>
      <c r="X2" s="2">
        <v>83.2</v>
      </c>
      <c r="Y2" s="2">
        <v>77.599999999999994</v>
      </c>
      <c r="Z2" s="2">
        <v>43.3</v>
      </c>
      <c r="AA2" s="2">
        <v>149.1</v>
      </c>
      <c r="AB2" s="2">
        <v>103.8</v>
      </c>
      <c r="AC2" s="2">
        <v>64.099999999999994</v>
      </c>
      <c r="AD2" s="2">
        <v>130.5</v>
      </c>
      <c r="AE2" s="2">
        <v>187.3</v>
      </c>
      <c r="AF2" s="2">
        <v>14.7</v>
      </c>
      <c r="AG2" s="2">
        <v>58.1</v>
      </c>
      <c r="AH2" s="2">
        <v>10.199999999999999</v>
      </c>
      <c r="AI2" s="2">
        <v>5.2</v>
      </c>
      <c r="AJ2" s="2">
        <v>8.9</v>
      </c>
      <c r="AK2" s="2">
        <v>6.5</v>
      </c>
      <c r="AL2" s="2">
        <v>8</v>
      </c>
      <c r="AM2" s="2">
        <v>6.6</v>
      </c>
      <c r="AN2" s="2">
        <v>11.2</v>
      </c>
      <c r="AO2" s="2">
        <v>9</v>
      </c>
      <c r="AP2" s="2">
        <v>6.5</v>
      </c>
      <c r="AQ2" s="2">
        <v>3.9</v>
      </c>
      <c r="AR2" s="2">
        <v>2.5</v>
      </c>
      <c r="AS2" s="2">
        <v>3.6</v>
      </c>
      <c r="AT2" s="2">
        <v>4.8</v>
      </c>
      <c r="AU2" s="2">
        <f>SUM(AF2:AT2)</f>
        <v>159.70000000000002</v>
      </c>
      <c r="AV2" s="2" t="s">
        <v>52</v>
      </c>
      <c r="AW2" s="2" t="s">
        <v>51</v>
      </c>
      <c r="AX2" s="2">
        <v>5.3330000000000001E-3</v>
      </c>
      <c r="AY2" s="2">
        <v>6.8669999999999995E-2</v>
      </c>
      <c r="AZ2" s="2">
        <v>1.62</v>
      </c>
    </row>
    <row r="3" spans="1:52" x14ac:dyDescent="0.25">
      <c r="A3" s="2" t="b">
        <v>0</v>
      </c>
      <c r="B3" s="2" t="s">
        <v>51</v>
      </c>
      <c r="C3" s="2" t="s">
        <v>112</v>
      </c>
      <c r="D3" s="2" t="s">
        <v>113</v>
      </c>
      <c r="E3" s="2" t="b">
        <v>0</v>
      </c>
      <c r="F3" s="2">
        <v>1.8053799999999998E-2</v>
      </c>
      <c r="G3" s="2">
        <v>1.5885599999999999E-3</v>
      </c>
      <c r="H3" s="2">
        <v>1</v>
      </c>
      <c r="I3" s="2">
        <v>1</v>
      </c>
      <c r="J3" s="2">
        <v>1</v>
      </c>
      <c r="K3" s="2">
        <v>1</v>
      </c>
      <c r="L3" s="2" t="s">
        <v>106</v>
      </c>
      <c r="M3" s="2" t="s">
        <v>114</v>
      </c>
      <c r="N3" s="2" t="s">
        <v>115</v>
      </c>
      <c r="O3" s="2">
        <v>2</v>
      </c>
      <c r="P3" s="2">
        <v>2856.5682900000002</v>
      </c>
      <c r="Q3" s="2">
        <v>56.8</v>
      </c>
      <c r="R3" s="2">
        <v>108.3</v>
      </c>
      <c r="S3" s="2">
        <v>90.5</v>
      </c>
      <c r="T3" s="2">
        <v>123</v>
      </c>
      <c r="U3" s="2">
        <v>53.3</v>
      </c>
      <c r="V3" s="2">
        <v>52.1</v>
      </c>
      <c r="W3" s="2">
        <v>88.3</v>
      </c>
      <c r="X3" s="2">
        <v>72.099999999999994</v>
      </c>
      <c r="Y3" s="2">
        <v>78.2</v>
      </c>
      <c r="Z3" s="2">
        <v>36.200000000000003</v>
      </c>
      <c r="AA3" s="2">
        <v>55.4</v>
      </c>
      <c r="AB3" s="2">
        <v>92.3</v>
      </c>
      <c r="AC3" s="2">
        <v>130.30000000000001</v>
      </c>
      <c r="AD3" s="2">
        <v>114.6</v>
      </c>
      <c r="AE3" s="2">
        <v>119.5</v>
      </c>
      <c r="AF3" s="2">
        <v>16.600000000000001</v>
      </c>
      <c r="AG3" s="2">
        <v>108.3</v>
      </c>
      <c r="AH3" s="2">
        <v>9.1</v>
      </c>
      <c r="AI3" s="2">
        <v>18.2</v>
      </c>
      <c r="AJ3" s="2">
        <v>7.7</v>
      </c>
      <c r="AK3" s="2">
        <v>4.9000000000000004</v>
      </c>
      <c r="AL3" s="2">
        <v>9.5</v>
      </c>
      <c r="AM3" s="2">
        <v>5.7</v>
      </c>
      <c r="AN3" s="2">
        <v>11.2</v>
      </c>
      <c r="AO3" s="2">
        <v>7.6</v>
      </c>
      <c r="AP3" s="2">
        <v>2.4</v>
      </c>
      <c r="AQ3" s="2">
        <v>3.5</v>
      </c>
      <c r="AR3" s="2">
        <v>5.0999999999999996</v>
      </c>
      <c r="AS3" s="2">
        <v>3.1</v>
      </c>
      <c r="AT3" s="2">
        <v>3.1</v>
      </c>
      <c r="AU3" s="2">
        <f>SUM(AF3:AT3)</f>
        <v>215.99999999999994</v>
      </c>
      <c r="AV3" s="2" t="s">
        <v>52</v>
      </c>
      <c r="AW3" s="2" t="s">
        <v>51</v>
      </c>
      <c r="AX3" s="2">
        <v>1.524E-3</v>
      </c>
      <c r="AY3" s="2">
        <v>1.4829999999999999E-2</v>
      </c>
      <c r="AZ3" s="2">
        <v>2.15</v>
      </c>
    </row>
    <row r="4" spans="1:52" x14ac:dyDescent="0.25">
      <c r="A4" s="2" t="b">
        <v>0</v>
      </c>
      <c r="B4" s="2" t="s">
        <v>51</v>
      </c>
      <c r="C4" s="2" t="s">
        <v>141</v>
      </c>
      <c r="D4" s="2" t="s">
        <v>142</v>
      </c>
      <c r="E4" s="2" t="b">
        <v>0</v>
      </c>
      <c r="F4" s="2">
        <v>2.2422999999999998E-2</v>
      </c>
      <c r="G4" s="2">
        <v>1.8039200000000001E-3</v>
      </c>
      <c r="H4" s="2">
        <v>1</v>
      </c>
      <c r="I4" s="2">
        <v>1</v>
      </c>
      <c r="J4" s="2">
        <v>1</v>
      </c>
      <c r="K4" s="2">
        <v>1</v>
      </c>
      <c r="L4" s="2" t="s">
        <v>143</v>
      </c>
      <c r="M4" s="2" t="s">
        <v>144</v>
      </c>
      <c r="N4" s="2" t="s">
        <v>145</v>
      </c>
      <c r="O4" s="2">
        <v>1</v>
      </c>
      <c r="P4" s="2">
        <v>2038.0994599999999</v>
      </c>
      <c r="Q4" s="2">
        <v>178.5</v>
      </c>
      <c r="R4" s="2">
        <v>70.8</v>
      </c>
      <c r="S4" s="2">
        <v>155.1</v>
      </c>
      <c r="T4" s="2">
        <v>180.9</v>
      </c>
      <c r="U4" s="2">
        <v>177.8</v>
      </c>
      <c r="V4" s="2">
        <v>56.3</v>
      </c>
      <c r="W4" s="2">
        <v>81.8</v>
      </c>
      <c r="X4" s="2">
        <v>47.1</v>
      </c>
      <c r="Y4" s="2">
        <v>71.3</v>
      </c>
      <c r="Z4" s="2">
        <v>81</v>
      </c>
      <c r="AA4" s="2">
        <v>59.3</v>
      </c>
      <c r="AB4" s="2">
        <v>54.8</v>
      </c>
      <c r="AC4" s="2" t="s">
        <v>52</v>
      </c>
      <c r="AD4" s="2">
        <v>125.1</v>
      </c>
      <c r="AE4" s="2" t="s">
        <v>52</v>
      </c>
      <c r="AF4" s="2">
        <v>52.1</v>
      </c>
      <c r="AG4" s="2">
        <v>70.8</v>
      </c>
      <c r="AH4" s="2">
        <v>15.5</v>
      </c>
      <c r="AI4" s="2">
        <v>26.7</v>
      </c>
      <c r="AJ4" s="2">
        <v>25.7</v>
      </c>
      <c r="AK4" s="2">
        <v>5.3</v>
      </c>
      <c r="AL4" s="2">
        <v>8.8000000000000007</v>
      </c>
      <c r="AM4" s="2">
        <v>3.7</v>
      </c>
      <c r="AN4" s="2">
        <v>10.3</v>
      </c>
      <c r="AO4" s="2">
        <v>16.899999999999999</v>
      </c>
      <c r="AP4" s="2">
        <v>2.6</v>
      </c>
      <c r="AQ4" s="2">
        <v>2.1</v>
      </c>
      <c r="AR4" s="2" t="s">
        <v>52</v>
      </c>
      <c r="AS4" s="2">
        <v>3.4</v>
      </c>
      <c r="AT4" s="2" t="s">
        <v>52</v>
      </c>
      <c r="AU4" s="2">
        <f>SUM(AF4:AT4)</f>
        <v>243.9</v>
      </c>
      <c r="AV4" s="2" t="s">
        <v>52</v>
      </c>
      <c r="AW4" s="2" t="s">
        <v>51</v>
      </c>
      <c r="AX4" s="2">
        <v>1.627E-3</v>
      </c>
      <c r="AY4" s="2">
        <v>1.8329999999999999E-2</v>
      </c>
      <c r="AZ4" s="2">
        <v>2.39</v>
      </c>
    </row>
    <row r="5" spans="1:52" x14ac:dyDescent="0.25">
      <c r="A5" s="2" t="b">
        <v>0</v>
      </c>
      <c r="B5" s="2" t="s">
        <v>51</v>
      </c>
      <c r="C5" s="2" t="s">
        <v>88</v>
      </c>
      <c r="D5" s="2" t="s">
        <v>89</v>
      </c>
      <c r="E5" s="2" t="b">
        <v>0</v>
      </c>
      <c r="F5" s="2">
        <v>8.2744099999999999E-5</v>
      </c>
      <c r="G5" s="2">
        <v>8.4858000000000006E-5</v>
      </c>
      <c r="H5" s="2">
        <v>1</v>
      </c>
      <c r="I5" s="2">
        <v>1</v>
      </c>
      <c r="J5" s="2">
        <v>1</v>
      </c>
      <c r="K5" s="2">
        <v>1</v>
      </c>
      <c r="L5" s="2" t="s">
        <v>60</v>
      </c>
      <c r="M5" s="2" t="s">
        <v>90</v>
      </c>
      <c r="N5" s="2" t="s">
        <v>91</v>
      </c>
      <c r="O5" s="2">
        <v>0</v>
      </c>
      <c r="P5" s="2">
        <v>2581.3406199999999</v>
      </c>
      <c r="Q5" s="2">
        <v>139.69999999999999</v>
      </c>
      <c r="R5" s="2">
        <v>137.1</v>
      </c>
      <c r="S5" s="2">
        <v>151.9</v>
      </c>
      <c r="T5" s="2">
        <v>117.2</v>
      </c>
      <c r="U5" s="2">
        <v>87.1</v>
      </c>
      <c r="V5" s="2">
        <v>79.900000000000006</v>
      </c>
      <c r="W5" s="2">
        <v>140.69999999999999</v>
      </c>
      <c r="X5" s="2">
        <v>169.8</v>
      </c>
      <c r="Y5" s="2">
        <v>101.3</v>
      </c>
      <c r="Z5" s="2">
        <v>99.3</v>
      </c>
      <c r="AA5" s="2">
        <v>85.9</v>
      </c>
      <c r="AB5" s="2">
        <v>104.3</v>
      </c>
      <c r="AC5" s="2">
        <v>129.80000000000001</v>
      </c>
      <c r="AD5" s="2">
        <v>105.9</v>
      </c>
      <c r="AE5" s="2">
        <v>98.9</v>
      </c>
      <c r="AF5" s="2">
        <v>40.700000000000003</v>
      </c>
      <c r="AG5" s="2">
        <v>137.1</v>
      </c>
      <c r="AH5" s="2">
        <v>15.2</v>
      </c>
      <c r="AI5" s="2">
        <v>17.3</v>
      </c>
      <c r="AJ5" s="2">
        <v>12.6</v>
      </c>
      <c r="AK5" s="2">
        <v>7.5</v>
      </c>
      <c r="AL5" s="2">
        <v>15.1</v>
      </c>
      <c r="AM5" s="2">
        <v>13.5</v>
      </c>
      <c r="AN5" s="2">
        <v>14.6</v>
      </c>
      <c r="AO5" s="2">
        <v>20.7</v>
      </c>
      <c r="AP5" s="2">
        <v>3.7</v>
      </c>
      <c r="AQ5" s="2">
        <v>3.9</v>
      </c>
      <c r="AR5" s="2">
        <v>5</v>
      </c>
      <c r="AS5" s="2">
        <v>2.9</v>
      </c>
      <c r="AT5" s="2">
        <v>2.6</v>
      </c>
      <c r="AU5" s="2">
        <f>SUM(AF5:AT5)</f>
        <v>312.39999999999998</v>
      </c>
      <c r="AV5" s="2" t="s">
        <v>52</v>
      </c>
      <c r="AW5" s="2" t="s">
        <v>51</v>
      </c>
      <c r="AX5" s="2">
        <v>1.4679999999999999E-4</v>
      </c>
      <c r="AY5" s="2">
        <v>7.4460000000000002E-5</v>
      </c>
      <c r="AZ5" s="2">
        <v>4.33</v>
      </c>
    </row>
    <row r="6" spans="1:52" x14ac:dyDescent="0.25">
      <c r="A6" s="2" t="b">
        <v>0</v>
      </c>
      <c r="B6" s="2" t="s">
        <v>51</v>
      </c>
      <c r="C6" s="2" t="s">
        <v>107</v>
      </c>
      <c r="D6" s="2" t="s">
        <v>108</v>
      </c>
      <c r="E6" s="2" t="b">
        <v>0</v>
      </c>
      <c r="F6" s="2">
        <v>7.9695099999999995E-4</v>
      </c>
      <c r="G6" s="2">
        <v>2.90623E-4</v>
      </c>
      <c r="H6" s="2">
        <v>1</v>
      </c>
      <c r="I6" s="2">
        <v>1</v>
      </c>
      <c r="J6" s="2">
        <v>1</v>
      </c>
      <c r="K6" s="2">
        <v>1</v>
      </c>
      <c r="L6" s="2" t="s">
        <v>109</v>
      </c>
      <c r="M6" s="2" t="s">
        <v>110</v>
      </c>
      <c r="N6" s="2" t="s">
        <v>111</v>
      </c>
      <c r="O6" s="2">
        <v>2</v>
      </c>
      <c r="P6" s="2">
        <v>3315.8892300000002</v>
      </c>
      <c r="Q6" s="2">
        <v>60.1</v>
      </c>
      <c r="R6" s="2">
        <v>72.8</v>
      </c>
      <c r="S6" s="2">
        <v>111.5</v>
      </c>
      <c r="T6" s="2">
        <v>221.4</v>
      </c>
      <c r="U6" s="2">
        <v>196.4</v>
      </c>
      <c r="V6" s="2">
        <v>60.2</v>
      </c>
      <c r="W6" s="2">
        <v>101.4</v>
      </c>
      <c r="X6" s="2">
        <v>83.8</v>
      </c>
      <c r="Y6" s="2">
        <v>390</v>
      </c>
      <c r="Z6" s="2">
        <v>152.9</v>
      </c>
      <c r="AA6" s="2" t="s">
        <v>52</v>
      </c>
      <c r="AB6" s="2">
        <v>242.2</v>
      </c>
      <c r="AC6" s="2">
        <v>194.8</v>
      </c>
      <c r="AD6" s="2">
        <v>619.20000000000005</v>
      </c>
      <c r="AE6" s="2">
        <v>282.8</v>
      </c>
      <c r="AF6" s="2">
        <v>17.5</v>
      </c>
      <c r="AG6" s="2">
        <v>72.8</v>
      </c>
      <c r="AH6" s="2">
        <v>11.2</v>
      </c>
      <c r="AI6" s="2">
        <v>32.700000000000003</v>
      </c>
      <c r="AJ6" s="2">
        <v>28.3</v>
      </c>
      <c r="AK6" s="2">
        <v>5.6</v>
      </c>
      <c r="AL6" s="2">
        <v>10.9</v>
      </c>
      <c r="AM6" s="2">
        <v>6.6</v>
      </c>
      <c r="AN6" s="2">
        <v>56.1</v>
      </c>
      <c r="AO6" s="2">
        <v>31.9</v>
      </c>
      <c r="AP6" s="2" t="s">
        <v>52</v>
      </c>
      <c r="AQ6" s="2">
        <v>9.1</v>
      </c>
      <c r="AR6" s="2">
        <v>7.6</v>
      </c>
      <c r="AS6" s="2">
        <v>17</v>
      </c>
      <c r="AT6" s="2">
        <v>7.3</v>
      </c>
      <c r="AU6" s="2">
        <f>SUM(AF6:AT6)</f>
        <v>314.60000000000002</v>
      </c>
      <c r="AV6" s="2" t="s">
        <v>52</v>
      </c>
      <c r="AW6" s="2" t="s">
        <v>51</v>
      </c>
      <c r="AX6" s="2">
        <v>2.8190000000000002E-4</v>
      </c>
      <c r="AY6" s="2">
        <v>6.87E-4</v>
      </c>
      <c r="AZ6" s="2">
        <v>5.5</v>
      </c>
    </row>
    <row r="7" spans="1:52" x14ac:dyDescent="0.25">
      <c r="A7" s="2" t="b">
        <v>0</v>
      </c>
      <c r="B7" s="2" t="s">
        <v>51</v>
      </c>
      <c r="C7" s="2" t="s">
        <v>121</v>
      </c>
      <c r="D7" s="2" t="s">
        <v>122</v>
      </c>
      <c r="E7" s="2" t="b">
        <v>0</v>
      </c>
      <c r="F7" s="2">
        <v>7.1283600000000003E-2</v>
      </c>
      <c r="G7" s="2">
        <v>5.7528600000000003E-3</v>
      </c>
      <c r="H7" s="2">
        <v>1</v>
      </c>
      <c r="I7" s="2">
        <v>1</v>
      </c>
      <c r="J7" s="2">
        <v>1</v>
      </c>
      <c r="K7" s="2">
        <v>1</v>
      </c>
      <c r="L7" s="2" t="s">
        <v>123</v>
      </c>
      <c r="M7" s="2" t="s">
        <v>124</v>
      </c>
      <c r="N7" s="2" t="s">
        <v>125</v>
      </c>
      <c r="O7" s="2">
        <v>1</v>
      </c>
      <c r="P7" s="2">
        <v>2215.12655</v>
      </c>
      <c r="Q7" s="2">
        <v>135.19999999999999</v>
      </c>
      <c r="R7" s="2">
        <v>81.8</v>
      </c>
      <c r="S7" s="2">
        <v>109.1</v>
      </c>
      <c r="T7" s="2">
        <v>135.6</v>
      </c>
      <c r="U7" s="2">
        <v>162.19999999999999</v>
      </c>
      <c r="V7" s="2">
        <v>179.4</v>
      </c>
      <c r="W7" s="2">
        <v>176</v>
      </c>
      <c r="X7" s="2">
        <v>198.9</v>
      </c>
      <c r="Y7" s="2">
        <v>186.8</v>
      </c>
      <c r="Z7" s="2">
        <v>217.8</v>
      </c>
      <c r="AA7" s="2">
        <v>153</v>
      </c>
      <c r="AB7" s="2">
        <v>175.9</v>
      </c>
      <c r="AC7" s="2" t="s">
        <v>52</v>
      </c>
      <c r="AD7" s="2">
        <v>98.8</v>
      </c>
      <c r="AE7" s="2">
        <v>246.6</v>
      </c>
      <c r="AF7" s="2">
        <v>39.4</v>
      </c>
      <c r="AG7" s="2">
        <v>81.8</v>
      </c>
      <c r="AH7" s="2">
        <v>10.9</v>
      </c>
      <c r="AI7" s="2">
        <v>20</v>
      </c>
      <c r="AJ7" s="2">
        <v>23.4</v>
      </c>
      <c r="AK7" s="2">
        <v>16.7</v>
      </c>
      <c r="AL7" s="2">
        <v>18.899999999999999</v>
      </c>
      <c r="AM7" s="2">
        <v>15.8</v>
      </c>
      <c r="AN7" s="2">
        <v>26.9</v>
      </c>
      <c r="AO7" s="2">
        <v>45.5</v>
      </c>
      <c r="AP7" s="2">
        <v>6.7</v>
      </c>
      <c r="AQ7" s="2">
        <v>6.6</v>
      </c>
      <c r="AR7" s="2" t="s">
        <v>52</v>
      </c>
      <c r="AS7" s="2">
        <v>2.7</v>
      </c>
      <c r="AT7" s="2">
        <v>6.4</v>
      </c>
      <c r="AU7" s="2">
        <f>SUM(AF7:AT7)</f>
        <v>321.7</v>
      </c>
      <c r="AV7" s="2" t="s">
        <v>52</v>
      </c>
      <c r="AW7" s="2" t="s">
        <v>51</v>
      </c>
      <c r="AX7" s="2">
        <v>4.8240000000000002E-3</v>
      </c>
      <c r="AY7" s="2">
        <v>5.9880000000000003E-2</v>
      </c>
      <c r="AZ7" s="2">
        <v>1.61</v>
      </c>
    </row>
    <row r="8" spans="1:52" x14ac:dyDescent="0.25">
      <c r="A8" s="2" t="b">
        <v>0</v>
      </c>
      <c r="B8" s="2" t="s">
        <v>51</v>
      </c>
      <c r="C8" s="2" t="s">
        <v>96</v>
      </c>
      <c r="D8" s="2" t="s">
        <v>97</v>
      </c>
      <c r="E8" s="2" t="b">
        <v>0</v>
      </c>
      <c r="F8" s="2">
        <v>1.0020599999999999E-3</v>
      </c>
      <c r="G8" s="2">
        <v>3.9238599999999999E-4</v>
      </c>
      <c r="H8" s="2">
        <v>1</v>
      </c>
      <c r="I8" s="2">
        <v>1</v>
      </c>
      <c r="J8" s="2">
        <v>1</v>
      </c>
      <c r="K8" s="2">
        <v>1</v>
      </c>
      <c r="L8" s="2" t="s">
        <v>98</v>
      </c>
      <c r="M8" s="2" t="s">
        <v>99</v>
      </c>
      <c r="N8" s="2" t="s">
        <v>100</v>
      </c>
      <c r="O8" s="2">
        <v>0</v>
      </c>
      <c r="P8" s="2">
        <v>3392.7270699999999</v>
      </c>
      <c r="Q8" s="2">
        <v>67.599999999999994</v>
      </c>
      <c r="R8" s="2">
        <v>269.7</v>
      </c>
      <c r="S8" s="2">
        <v>102.7</v>
      </c>
      <c r="T8" s="2">
        <v>4.5999999999999996</v>
      </c>
      <c r="U8" s="2">
        <v>71.8</v>
      </c>
      <c r="V8" s="2">
        <v>130.80000000000001</v>
      </c>
      <c r="W8" s="2">
        <v>152.30000000000001</v>
      </c>
      <c r="X8" s="2">
        <v>80.5</v>
      </c>
      <c r="Y8" s="2">
        <v>89.8</v>
      </c>
      <c r="Z8" s="2">
        <v>128.4</v>
      </c>
      <c r="AA8" s="2" t="s">
        <v>52</v>
      </c>
      <c r="AB8" s="2">
        <v>43</v>
      </c>
      <c r="AC8" s="2">
        <v>114.7</v>
      </c>
      <c r="AD8" s="2" t="s">
        <v>52</v>
      </c>
      <c r="AE8" s="2" t="s">
        <v>52</v>
      </c>
      <c r="AF8" s="2">
        <v>19.7</v>
      </c>
      <c r="AG8" s="2">
        <v>269.7</v>
      </c>
      <c r="AH8" s="2">
        <v>10.3</v>
      </c>
      <c r="AI8" s="2">
        <v>0.7</v>
      </c>
      <c r="AJ8" s="2">
        <v>10.4</v>
      </c>
      <c r="AK8" s="2">
        <v>12.2</v>
      </c>
      <c r="AL8" s="2">
        <v>16.399999999999999</v>
      </c>
      <c r="AM8" s="2">
        <v>6.4</v>
      </c>
      <c r="AN8" s="2">
        <v>12.9</v>
      </c>
      <c r="AO8" s="2">
        <v>26.8</v>
      </c>
      <c r="AP8" s="2" t="s">
        <v>52</v>
      </c>
      <c r="AQ8" s="2">
        <v>1.6</v>
      </c>
      <c r="AR8" s="2">
        <v>4.5</v>
      </c>
      <c r="AS8" s="2" t="s">
        <v>52</v>
      </c>
      <c r="AT8" s="2" t="s">
        <v>52</v>
      </c>
      <c r="AU8" s="2">
        <f>SUM(AF8:AT8)</f>
        <v>391.59999999999991</v>
      </c>
      <c r="AV8" s="2" t="s">
        <v>52</v>
      </c>
      <c r="AW8" s="2" t="s">
        <v>51</v>
      </c>
      <c r="AX8" s="2">
        <v>3.5990000000000002E-4</v>
      </c>
      <c r="AY8" s="2">
        <v>8.5689999999999996E-4</v>
      </c>
      <c r="AZ8" s="2">
        <v>4.32</v>
      </c>
    </row>
    <row r="9" spans="1:52" x14ac:dyDescent="0.25">
      <c r="A9" s="2" t="b">
        <v>0</v>
      </c>
      <c r="B9" s="2" t="s">
        <v>51</v>
      </c>
      <c r="C9" s="2" t="s">
        <v>146</v>
      </c>
      <c r="D9" s="2" t="s">
        <v>147</v>
      </c>
      <c r="E9" s="2" t="b">
        <v>0</v>
      </c>
      <c r="F9" s="2">
        <v>0.113118</v>
      </c>
      <c r="G9" s="2">
        <v>8.4893199999999999E-3</v>
      </c>
      <c r="H9" s="2">
        <v>1</v>
      </c>
      <c r="I9" s="2">
        <v>1</v>
      </c>
      <c r="J9" s="2">
        <v>1</v>
      </c>
      <c r="K9" s="2">
        <v>1</v>
      </c>
      <c r="L9" s="2" t="s">
        <v>148</v>
      </c>
      <c r="M9" s="2" t="s">
        <v>149</v>
      </c>
      <c r="N9" s="2" t="s">
        <v>150</v>
      </c>
      <c r="O9" s="2">
        <v>0</v>
      </c>
      <c r="P9" s="2">
        <v>1746.8820700000001</v>
      </c>
      <c r="Q9" s="2">
        <v>65.7</v>
      </c>
      <c r="R9" s="2">
        <v>317.89999999999998</v>
      </c>
      <c r="S9" s="2">
        <v>117.6</v>
      </c>
      <c r="T9" s="2" t="s">
        <v>52</v>
      </c>
      <c r="U9" s="2">
        <v>83.1</v>
      </c>
      <c r="V9" s="2">
        <v>105.9</v>
      </c>
      <c r="W9" s="2">
        <v>196</v>
      </c>
      <c r="X9" s="2">
        <v>82.9</v>
      </c>
      <c r="Y9" s="2">
        <v>130.4</v>
      </c>
      <c r="Z9" s="2">
        <v>131.4</v>
      </c>
      <c r="AA9" s="2">
        <v>205.8</v>
      </c>
      <c r="AB9" s="2">
        <v>91.5</v>
      </c>
      <c r="AC9" s="2">
        <v>73.8</v>
      </c>
      <c r="AD9" s="2">
        <v>165.8</v>
      </c>
      <c r="AE9" s="2">
        <v>151.9</v>
      </c>
      <c r="AF9" s="2">
        <v>19.2</v>
      </c>
      <c r="AG9" s="2">
        <v>317.89999999999998</v>
      </c>
      <c r="AH9" s="2">
        <v>11.8</v>
      </c>
      <c r="AI9" s="2" t="s">
        <v>52</v>
      </c>
      <c r="AJ9" s="2">
        <v>12</v>
      </c>
      <c r="AK9" s="2">
        <v>9.9</v>
      </c>
      <c r="AL9" s="2">
        <v>21.1</v>
      </c>
      <c r="AM9" s="2">
        <v>6.6</v>
      </c>
      <c r="AN9" s="2">
        <v>18.8</v>
      </c>
      <c r="AO9" s="2">
        <v>27.5</v>
      </c>
      <c r="AP9" s="2">
        <v>9</v>
      </c>
      <c r="AQ9" s="2">
        <v>3.4</v>
      </c>
      <c r="AR9" s="2">
        <v>2.9</v>
      </c>
      <c r="AS9" s="2">
        <v>4.5999999999999996</v>
      </c>
      <c r="AT9" s="2">
        <v>3.9</v>
      </c>
      <c r="AU9" s="2">
        <f>SUM(AF9:AT9)</f>
        <v>468.59999999999997</v>
      </c>
      <c r="AV9" s="2" t="s">
        <v>52</v>
      </c>
      <c r="AW9" s="2" t="s">
        <v>51</v>
      </c>
      <c r="AX9" s="2">
        <v>7.4780000000000003E-3</v>
      </c>
      <c r="AY9" s="2">
        <v>9.5909999999999995E-2</v>
      </c>
      <c r="AZ9" s="2">
        <v>1.75</v>
      </c>
    </row>
    <row r="10" spans="1:52" x14ac:dyDescent="0.25">
      <c r="A10" s="2" t="b">
        <v>0</v>
      </c>
      <c r="B10" s="2" t="s">
        <v>51</v>
      </c>
      <c r="C10" s="2" t="s">
        <v>131</v>
      </c>
      <c r="D10" s="2" t="s">
        <v>132</v>
      </c>
      <c r="E10" s="2" t="b">
        <v>0</v>
      </c>
      <c r="F10" s="2">
        <v>8.73181E-4</v>
      </c>
      <c r="G10" s="2">
        <v>2.90623E-4</v>
      </c>
      <c r="H10" s="2">
        <v>1</v>
      </c>
      <c r="I10" s="2">
        <v>1</v>
      </c>
      <c r="J10" s="2">
        <v>1</v>
      </c>
      <c r="K10" s="2">
        <v>1</v>
      </c>
      <c r="L10" s="2" t="s">
        <v>133</v>
      </c>
      <c r="M10" s="2" t="s">
        <v>134</v>
      </c>
      <c r="N10" s="2" t="s">
        <v>135</v>
      </c>
      <c r="O10" s="2">
        <v>0</v>
      </c>
      <c r="P10" s="2">
        <v>1946.0491300000001</v>
      </c>
      <c r="Q10" s="2">
        <v>175.6</v>
      </c>
      <c r="R10" s="2">
        <v>153.30000000000001</v>
      </c>
      <c r="S10" s="2">
        <v>213.5</v>
      </c>
      <c r="T10" s="2">
        <v>205.2</v>
      </c>
      <c r="U10" s="2">
        <v>188.7</v>
      </c>
      <c r="V10" s="2">
        <v>215.7</v>
      </c>
      <c r="W10" s="2">
        <v>289.89999999999998</v>
      </c>
      <c r="X10" s="2">
        <v>219.2</v>
      </c>
      <c r="Y10" s="2">
        <v>236.1</v>
      </c>
      <c r="Z10" s="2">
        <v>232.7</v>
      </c>
      <c r="AA10" s="2">
        <v>283.3</v>
      </c>
      <c r="AB10" s="2">
        <v>306</v>
      </c>
      <c r="AC10" s="2">
        <v>407.3</v>
      </c>
      <c r="AD10" s="2">
        <v>377.2</v>
      </c>
      <c r="AE10" s="2">
        <v>390.8</v>
      </c>
      <c r="AF10" s="2">
        <v>51.2</v>
      </c>
      <c r="AG10" s="2">
        <v>153.30000000000001</v>
      </c>
      <c r="AH10" s="2">
        <v>21.4</v>
      </c>
      <c r="AI10" s="2">
        <v>30.3</v>
      </c>
      <c r="AJ10" s="2">
        <v>27.2</v>
      </c>
      <c r="AK10" s="2">
        <v>20.100000000000001</v>
      </c>
      <c r="AL10" s="2">
        <v>31.1</v>
      </c>
      <c r="AM10" s="2">
        <v>17.399999999999999</v>
      </c>
      <c r="AN10" s="2">
        <v>34</v>
      </c>
      <c r="AO10" s="2">
        <v>48.6</v>
      </c>
      <c r="AP10" s="2">
        <v>12.4</v>
      </c>
      <c r="AQ10" s="2">
        <v>11.5</v>
      </c>
      <c r="AR10" s="2">
        <v>15.8</v>
      </c>
      <c r="AS10" s="2">
        <v>10.4</v>
      </c>
      <c r="AT10" s="2">
        <v>10.1</v>
      </c>
      <c r="AU10" s="2">
        <f>SUM(AF10:AT10)</f>
        <v>494.8</v>
      </c>
      <c r="AV10" s="2" t="s">
        <v>52</v>
      </c>
      <c r="AW10" s="2" t="s">
        <v>51</v>
      </c>
      <c r="AX10" s="2">
        <v>2.8190000000000002E-4</v>
      </c>
      <c r="AY10" s="2">
        <v>7.5049999999999997E-4</v>
      </c>
      <c r="AZ10" s="2">
        <v>2.85</v>
      </c>
    </row>
    <row r="11" spans="1:52" x14ac:dyDescent="0.25">
      <c r="A11" s="2" t="b">
        <v>0</v>
      </c>
      <c r="B11" s="2" t="s">
        <v>51</v>
      </c>
      <c r="C11" s="2" t="s">
        <v>58</v>
      </c>
      <c r="D11" s="2" t="s">
        <v>59</v>
      </c>
      <c r="E11" s="2" t="b">
        <v>0</v>
      </c>
      <c r="F11" s="2">
        <v>2.9364000000000001E-4</v>
      </c>
      <c r="G11" s="2">
        <v>1.9472099999999999E-4</v>
      </c>
      <c r="H11" s="2">
        <v>1</v>
      </c>
      <c r="I11" s="2">
        <v>1</v>
      </c>
      <c r="J11" s="2">
        <v>1</v>
      </c>
      <c r="K11" s="2">
        <v>2</v>
      </c>
      <c r="L11" s="2" t="s">
        <v>60</v>
      </c>
      <c r="M11" s="2" t="s">
        <v>61</v>
      </c>
      <c r="N11" s="2" t="s">
        <v>62</v>
      </c>
      <c r="O11" s="2">
        <v>0</v>
      </c>
      <c r="P11" s="2">
        <v>2772.4940999999999</v>
      </c>
      <c r="Q11" s="2">
        <v>170.7</v>
      </c>
      <c r="R11" s="2">
        <v>186.5</v>
      </c>
      <c r="S11" s="2">
        <v>216</v>
      </c>
      <c r="T11" s="2">
        <v>224.5</v>
      </c>
      <c r="U11" s="2">
        <v>185.2</v>
      </c>
      <c r="V11" s="2">
        <v>264.5</v>
      </c>
      <c r="W11" s="2">
        <v>332.3</v>
      </c>
      <c r="X11" s="2">
        <v>181.8</v>
      </c>
      <c r="Y11" s="2">
        <v>226.7</v>
      </c>
      <c r="Z11" s="2">
        <v>159</v>
      </c>
      <c r="AA11" s="2">
        <v>225.3</v>
      </c>
      <c r="AB11" s="2">
        <v>253.9</v>
      </c>
      <c r="AC11" s="2">
        <v>294</v>
      </c>
      <c r="AD11" s="2">
        <v>187.4</v>
      </c>
      <c r="AE11" s="2">
        <v>183.2</v>
      </c>
      <c r="AF11" s="2">
        <v>49.8</v>
      </c>
      <c r="AG11" s="2">
        <v>186.5</v>
      </c>
      <c r="AH11" s="2">
        <v>21.6</v>
      </c>
      <c r="AI11" s="2">
        <v>33.200000000000003</v>
      </c>
      <c r="AJ11" s="2">
        <v>26.7</v>
      </c>
      <c r="AK11" s="2">
        <v>24.7</v>
      </c>
      <c r="AL11" s="2">
        <v>35.700000000000003</v>
      </c>
      <c r="AM11" s="2">
        <v>14.4</v>
      </c>
      <c r="AN11" s="2">
        <v>32.6</v>
      </c>
      <c r="AO11" s="2">
        <v>33.200000000000003</v>
      </c>
      <c r="AP11" s="2">
        <v>9.8000000000000007</v>
      </c>
      <c r="AQ11" s="2">
        <v>9.6</v>
      </c>
      <c r="AR11" s="2">
        <v>11.4</v>
      </c>
      <c r="AS11" s="2">
        <v>5.0999999999999996</v>
      </c>
      <c r="AT11" s="2">
        <v>4.7</v>
      </c>
      <c r="AU11" s="2">
        <f>SUM(AF11:AT11)</f>
        <v>499</v>
      </c>
      <c r="AV11" s="2" t="s">
        <v>52</v>
      </c>
      <c r="AW11" s="2" t="s">
        <v>51</v>
      </c>
      <c r="AX11" s="2">
        <v>2.1340000000000001E-4</v>
      </c>
      <c r="AY11" s="2">
        <v>2.654E-4</v>
      </c>
      <c r="AZ11" s="2">
        <v>2.94</v>
      </c>
    </row>
    <row r="12" spans="1:52" x14ac:dyDescent="0.25">
      <c r="A12" s="2" t="b">
        <v>0</v>
      </c>
      <c r="B12" s="2" t="s">
        <v>51</v>
      </c>
      <c r="C12" s="2" t="s">
        <v>116</v>
      </c>
      <c r="D12" s="2" t="s">
        <v>117</v>
      </c>
      <c r="E12" s="2" t="b">
        <v>0</v>
      </c>
      <c r="F12" s="2">
        <v>0.113709</v>
      </c>
      <c r="G12" s="2">
        <v>8.5561700000000001E-3</v>
      </c>
      <c r="H12" s="2">
        <v>1</v>
      </c>
      <c r="I12" s="2">
        <v>1</v>
      </c>
      <c r="J12" s="2">
        <v>1</v>
      </c>
      <c r="K12" s="2">
        <v>1</v>
      </c>
      <c r="L12" s="2" t="s">
        <v>118</v>
      </c>
      <c r="M12" s="2" t="s">
        <v>119</v>
      </c>
      <c r="N12" s="2" t="s">
        <v>120</v>
      </c>
      <c r="O12" s="2">
        <v>0</v>
      </c>
      <c r="P12" s="2">
        <v>2090.98047</v>
      </c>
      <c r="Q12" s="2">
        <v>323</v>
      </c>
      <c r="R12" s="2">
        <v>141</v>
      </c>
      <c r="S12" s="2">
        <v>301.39999999999998</v>
      </c>
      <c r="T12" s="2">
        <v>457.7</v>
      </c>
      <c r="U12" s="2">
        <v>269.89999999999998</v>
      </c>
      <c r="V12" s="2">
        <v>188.1</v>
      </c>
      <c r="W12" s="2">
        <v>195</v>
      </c>
      <c r="X12" s="2">
        <v>230.6</v>
      </c>
      <c r="Y12" s="2">
        <v>205.1</v>
      </c>
      <c r="Z12" s="2">
        <v>173.1</v>
      </c>
      <c r="AA12" s="2">
        <v>181.3</v>
      </c>
      <c r="AB12" s="2">
        <v>271.60000000000002</v>
      </c>
      <c r="AC12" s="2">
        <v>253.6</v>
      </c>
      <c r="AD12" s="2">
        <v>264.60000000000002</v>
      </c>
      <c r="AE12" s="2">
        <v>211.1</v>
      </c>
      <c r="AF12" s="2">
        <v>94.2</v>
      </c>
      <c r="AG12" s="2">
        <v>141</v>
      </c>
      <c r="AH12" s="2">
        <v>30.2</v>
      </c>
      <c r="AI12" s="2">
        <v>67.7</v>
      </c>
      <c r="AJ12" s="2">
        <v>38.9</v>
      </c>
      <c r="AK12" s="2">
        <v>17.600000000000001</v>
      </c>
      <c r="AL12" s="2">
        <v>20.9</v>
      </c>
      <c r="AM12" s="2">
        <v>18.3</v>
      </c>
      <c r="AN12" s="2">
        <v>29.5</v>
      </c>
      <c r="AO12" s="2">
        <v>36.200000000000003</v>
      </c>
      <c r="AP12" s="2">
        <v>7.9</v>
      </c>
      <c r="AQ12" s="2">
        <v>10.199999999999999</v>
      </c>
      <c r="AR12" s="2">
        <v>9.9</v>
      </c>
      <c r="AS12" s="2">
        <v>7.3</v>
      </c>
      <c r="AT12" s="2">
        <v>5.5</v>
      </c>
      <c r="AU12" s="2">
        <f>SUM(AF12:AT12)</f>
        <v>535.29999999999984</v>
      </c>
      <c r="AV12" s="2" t="s">
        <v>52</v>
      </c>
      <c r="AW12" s="2" t="s">
        <v>51</v>
      </c>
      <c r="AX12" s="2">
        <v>7.5290000000000001E-3</v>
      </c>
      <c r="AY12" s="2">
        <v>9.6519999999999995E-2</v>
      </c>
      <c r="AZ12" s="2">
        <v>2.08</v>
      </c>
    </row>
    <row r="13" spans="1:52" x14ac:dyDescent="0.25">
      <c r="A13" s="2" t="b">
        <v>0</v>
      </c>
      <c r="B13" s="2" t="s">
        <v>51</v>
      </c>
      <c r="C13" s="2" t="s">
        <v>83</v>
      </c>
      <c r="D13" s="2" t="s">
        <v>84</v>
      </c>
      <c r="E13" s="2" t="b">
        <v>0</v>
      </c>
      <c r="F13" s="2">
        <v>1.3699000000000001E-3</v>
      </c>
      <c r="G13" s="2">
        <v>4.5193300000000001E-4</v>
      </c>
      <c r="H13" s="2">
        <v>1</v>
      </c>
      <c r="I13" s="2">
        <v>1</v>
      </c>
      <c r="J13" s="2">
        <v>1</v>
      </c>
      <c r="K13" s="2">
        <v>1</v>
      </c>
      <c r="L13" s="2" t="s">
        <v>85</v>
      </c>
      <c r="M13" s="2" t="s">
        <v>86</v>
      </c>
      <c r="N13" s="2" t="s">
        <v>87</v>
      </c>
      <c r="O13" s="2">
        <v>0</v>
      </c>
      <c r="P13" s="2">
        <v>1955.97596</v>
      </c>
      <c r="Q13" s="2">
        <v>55.7</v>
      </c>
      <c r="R13" s="2">
        <v>408</v>
      </c>
      <c r="S13" s="2">
        <v>98.7</v>
      </c>
      <c r="T13" s="2">
        <v>31.9</v>
      </c>
      <c r="U13" s="2">
        <v>130.80000000000001</v>
      </c>
      <c r="V13" s="2">
        <v>91.4</v>
      </c>
      <c r="W13" s="2">
        <v>121.1</v>
      </c>
      <c r="X13" s="2">
        <v>89.9</v>
      </c>
      <c r="Y13" s="2">
        <v>115.4</v>
      </c>
      <c r="Z13" s="2">
        <v>89.6</v>
      </c>
      <c r="AA13" s="2">
        <v>131.6</v>
      </c>
      <c r="AB13" s="2">
        <v>107.8</v>
      </c>
      <c r="AC13" s="2">
        <v>107.3</v>
      </c>
      <c r="AD13" s="2">
        <v>183.8</v>
      </c>
      <c r="AE13" s="2">
        <v>149.19999999999999</v>
      </c>
      <c r="AF13" s="2">
        <v>16.2</v>
      </c>
      <c r="AG13" s="2">
        <v>408</v>
      </c>
      <c r="AH13" s="2">
        <v>9.9</v>
      </c>
      <c r="AI13" s="2">
        <v>4.7</v>
      </c>
      <c r="AJ13" s="2">
        <v>18.899999999999999</v>
      </c>
      <c r="AK13" s="2">
        <v>8.5</v>
      </c>
      <c r="AL13" s="2">
        <v>13</v>
      </c>
      <c r="AM13" s="2">
        <v>7.1</v>
      </c>
      <c r="AN13" s="2">
        <v>16.600000000000001</v>
      </c>
      <c r="AO13" s="2">
        <v>18.7</v>
      </c>
      <c r="AP13" s="2">
        <v>5.7</v>
      </c>
      <c r="AQ13" s="2">
        <v>4.0999999999999996</v>
      </c>
      <c r="AR13" s="2">
        <v>4.2</v>
      </c>
      <c r="AS13" s="2">
        <v>5.0999999999999996</v>
      </c>
      <c r="AT13" s="2">
        <v>3.9</v>
      </c>
      <c r="AU13" s="2">
        <f>SUM(AF13:AT13)</f>
        <v>544.60000000000014</v>
      </c>
      <c r="AV13" s="2" t="s">
        <v>52</v>
      </c>
      <c r="AW13" s="2" t="s">
        <v>51</v>
      </c>
      <c r="AX13" s="2">
        <v>3.9879999999999999E-4</v>
      </c>
      <c r="AY13" s="2">
        <v>1.16E-3</v>
      </c>
      <c r="AZ13" s="2">
        <v>3.54</v>
      </c>
    </row>
    <row r="14" spans="1:52" x14ac:dyDescent="0.25">
      <c r="A14" s="2" t="b">
        <v>0</v>
      </c>
      <c r="B14" s="2" t="s">
        <v>51</v>
      </c>
      <c r="C14" s="2" t="s">
        <v>73</v>
      </c>
      <c r="D14" s="2" t="s">
        <v>74</v>
      </c>
      <c r="E14" s="2" t="b">
        <v>0</v>
      </c>
      <c r="F14" s="2">
        <v>3.0439899999999999E-2</v>
      </c>
      <c r="G14" s="2">
        <v>2.47022E-3</v>
      </c>
      <c r="H14" s="2">
        <v>1</v>
      </c>
      <c r="I14" s="2">
        <v>1</v>
      </c>
      <c r="J14" s="2">
        <v>1</v>
      </c>
      <c r="K14" s="2">
        <v>1</v>
      </c>
      <c r="L14" s="2" t="s">
        <v>75</v>
      </c>
      <c r="M14" s="2" t="s">
        <v>76</v>
      </c>
      <c r="N14" s="2" t="s">
        <v>52</v>
      </c>
      <c r="O14" s="2">
        <v>2</v>
      </c>
      <c r="P14" s="2">
        <v>2371.2925</v>
      </c>
      <c r="Q14" s="2">
        <v>230.3</v>
      </c>
      <c r="R14" s="2">
        <v>179.6</v>
      </c>
      <c r="S14" s="2">
        <v>282</v>
      </c>
      <c r="T14" s="2">
        <v>294.10000000000002</v>
      </c>
      <c r="U14" s="2">
        <v>218.3</v>
      </c>
      <c r="V14" s="2">
        <v>327.2</v>
      </c>
      <c r="W14" s="2">
        <v>183.6</v>
      </c>
      <c r="X14" s="2">
        <v>212.4</v>
      </c>
      <c r="Y14" s="2">
        <v>308.89999999999998</v>
      </c>
      <c r="Z14" s="2">
        <v>303.10000000000002</v>
      </c>
      <c r="AA14" s="2">
        <v>283.89999999999998</v>
      </c>
      <c r="AB14" s="2">
        <v>217.4</v>
      </c>
      <c r="AC14" s="2">
        <v>185.2</v>
      </c>
      <c r="AD14" s="2">
        <v>215.4</v>
      </c>
      <c r="AE14" s="2">
        <v>145.4</v>
      </c>
      <c r="AF14" s="2">
        <v>67.2</v>
      </c>
      <c r="AG14" s="2">
        <v>179.6</v>
      </c>
      <c r="AH14" s="2">
        <v>28.2</v>
      </c>
      <c r="AI14" s="2">
        <v>43.5</v>
      </c>
      <c r="AJ14" s="2">
        <v>31.5</v>
      </c>
      <c r="AK14" s="2">
        <v>30.5</v>
      </c>
      <c r="AL14" s="2">
        <v>19.7</v>
      </c>
      <c r="AM14" s="2">
        <v>16.8</v>
      </c>
      <c r="AN14" s="2">
        <v>44.4</v>
      </c>
      <c r="AO14" s="2">
        <v>63.3</v>
      </c>
      <c r="AP14" s="2">
        <v>12.4</v>
      </c>
      <c r="AQ14" s="2">
        <v>8.1999999999999993</v>
      </c>
      <c r="AR14" s="2">
        <v>7.2</v>
      </c>
      <c r="AS14" s="2">
        <v>5.9</v>
      </c>
      <c r="AT14" s="2">
        <v>3.8</v>
      </c>
      <c r="AU14" s="2">
        <f>SUM(AF14:AT14)</f>
        <v>562.19999999999993</v>
      </c>
      <c r="AV14" s="2" t="s">
        <v>52</v>
      </c>
      <c r="AW14" s="2" t="s">
        <v>51</v>
      </c>
      <c r="AX14" s="2">
        <v>2.2550000000000001E-3</v>
      </c>
      <c r="AY14" s="2">
        <v>2.4889999999999999E-2</v>
      </c>
      <c r="AZ14" s="2">
        <v>2.56</v>
      </c>
    </row>
    <row r="15" spans="1:52" x14ac:dyDescent="0.25">
      <c r="A15" s="2" t="b">
        <v>0</v>
      </c>
      <c r="B15" s="2" t="s">
        <v>51</v>
      </c>
      <c r="C15" s="2" t="s">
        <v>68</v>
      </c>
      <c r="D15" s="2" t="s">
        <v>69</v>
      </c>
      <c r="E15" s="2" t="b">
        <v>0</v>
      </c>
      <c r="F15" s="2">
        <v>7.5062700000000002E-4</v>
      </c>
      <c r="G15" s="2">
        <v>2.90623E-4</v>
      </c>
      <c r="H15" s="2">
        <v>1</v>
      </c>
      <c r="I15" s="2">
        <v>1</v>
      </c>
      <c r="J15" s="2">
        <v>1</v>
      </c>
      <c r="K15" s="2">
        <v>1</v>
      </c>
      <c r="L15" s="2" t="s">
        <v>70</v>
      </c>
      <c r="M15" s="2" t="s">
        <v>71</v>
      </c>
      <c r="N15" s="2" t="s">
        <v>72</v>
      </c>
      <c r="O15" s="2">
        <v>0</v>
      </c>
      <c r="P15" s="2">
        <v>1798.9959699999999</v>
      </c>
      <c r="Q15" s="2">
        <v>192.2</v>
      </c>
      <c r="R15" s="2">
        <v>248.4</v>
      </c>
      <c r="S15" s="2">
        <v>216.2</v>
      </c>
      <c r="T15" s="2">
        <v>265.60000000000002</v>
      </c>
      <c r="U15" s="2">
        <v>230.4</v>
      </c>
      <c r="V15" s="2">
        <v>176</v>
      </c>
      <c r="W15" s="2">
        <v>190.6</v>
      </c>
      <c r="X15" s="2">
        <v>231.6</v>
      </c>
      <c r="Y15" s="2">
        <v>242.9</v>
      </c>
      <c r="Z15" s="2">
        <v>182.4</v>
      </c>
      <c r="AA15" s="2">
        <v>301.3</v>
      </c>
      <c r="AB15" s="2">
        <v>282.3</v>
      </c>
      <c r="AC15" s="2">
        <v>257.89999999999998</v>
      </c>
      <c r="AD15" s="2">
        <v>457.6</v>
      </c>
      <c r="AE15" s="2">
        <v>338.8</v>
      </c>
      <c r="AF15" s="2">
        <v>56</v>
      </c>
      <c r="AG15" s="2">
        <v>248.4</v>
      </c>
      <c r="AH15" s="2">
        <v>21.7</v>
      </c>
      <c r="AI15" s="2">
        <v>39.299999999999997</v>
      </c>
      <c r="AJ15" s="2">
        <v>33.200000000000003</v>
      </c>
      <c r="AK15" s="2">
        <v>16.399999999999999</v>
      </c>
      <c r="AL15" s="2">
        <v>20.5</v>
      </c>
      <c r="AM15" s="2">
        <v>18.399999999999999</v>
      </c>
      <c r="AN15" s="2">
        <v>35</v>
      </c>
      <c r="AO15" s="2">
        <v>38.1</v>
      </c>
      <c r="AP15" s="2">
        <v>13.1</v>
      </c>
      <c r="AQ15" s="2">
        <v>10.6</v>
      </c>
      <c r="AR15" s="2">
        <v>10</v>
      </c>
      <c r="AS15" s="2">
        <v>12.6</v>
      </c>
      <c r="AT15" s="2">
        <v>8.8000000000000007</v>
      </c>
      <c r="AU15" s="2">
        <f>SUM(AF15:AT15)</f>
        <v>582.09999999999991</v>
      </c>
      <c r="AV15" s="2" t="s">
        <v>52</v>
      </c>
      <c r="AW15" s="2" t="s">
        <v>51</v>
      </c>
      <c r="AX15" s="2">
        <v>2.8190000000000002E-4</v>
      </c>
      <c r="AY15" s="2">
        <v>6.4880000000000005E-4</v>
      </c>
      <c r="AZ15" s="2">
        <v>3.95</v>
      </c>
    </row>
    <row r="16" spans="1:52" x14ac:dyDescent="0.25">
      <c r="A16" s="2" t="b">
        <v>0</v>
      </c>
      <c r="B16" s="2" t="s">
        <v>51</v>
      </c>
      <c r="C16" s="2" t="s">
        <v>63</v>
      </c>
      <c r="D16" s="2" t="s">
        <v>64</v>
      </c>
      <c r="E16" s="2" t="b">
        <v>0</v>
      </c>
      <c r="F16" s="2">
        <v>1.6608000000000001E-4</v>
      </c>
      <c r="G16" s="2">
        <v>8.4858000000000006E-5</v>
      </c>
      <c r="H16" s="2">
        <v>1</v>
      </c>
      <c r="I16" s="2">
        <v>1</v>
      </c>
      <c r="J16" s="2">
        <v>1</v>
      </c>
      <c r="K16" s="2">
        <v>1</v>
      </c>
      <c r="L16" s="2" t="s">
        <v>65</v>
      </c>
      <c r="M16" s="2" t="s">
        <v>66</v>
      </c>
      <c r="N16" s="2" t="s">
        <v>67</v>
      </c>
      <c r="O16" s="2">
        <v>0</v>
      </c>
      <c r="P16" s="2">
        <v>2379.2240200000001</v>
      </c>
      <c r="Q16" s="2">
        <v>202</v>
      </c>
      <c r="R16" s="2">
        <v>260.89999999999998</v>
      </c>
      <c r="S16" s="2">
        <v>288.5</v>
      </c>
      <c r="T16" s="2">
        <v>450.1</v>
      </c>
      <c r="U16" s="2">
        <v>259.10000000000002</v>
      </c>
      <c r="V16" s="2">
        <v>61.2</v>
      </c>
      <c r="W16" s="2">
        <v>210.5</v>
      </c>
      <c r="X16" s="2">
        <v>129.4</v>
      </c>
      <c r="Y16" s="2">
        <v>168.3</v>
      </c>
      <c r="Z16" s="2">
        <v>199.4</v>
      </c>
      <c r="AA16" s="2">
        <v>198.5</v>
      </c>
      <c r="AB16" s="2">
        <v>204.5</v>
      </c>
      <c r="AC16" s="2">
        <v>229.1</v>
      </c>
      <c r="AD16" s="2">
        <v>170.4</v>
      </c>
      <c r="AE16" s="2">
        <v>125</v>
      </c>
      <c r="AF16" s="2">
        <v>58.9</v>
      </c>
      <c r="AG16" s="2">
        <v>260.89999999999998</v>
      </c>
      <c r="AH16" s="2">
        <v>28.9</v>
      </c>
      <c r="AI16" s="2">
        <v>66.5</v>
      </c>
      <c r="AJ16" s="2">
        <v>37.4</v>
      </c>
      <c r="AK16" s="2">
        <v>5.7</v>
      </c>
      <c r="AL16" s="2">
        <v>22.6</v>
      </c>
      <c r="AM16" s="2">
        <v>10.3</v>
      </c>
      <c r="AN16" s="2">
        <v>24.2</v>
      </c>
      <c r="AO16" s="2">
        <v>41.7</v>
      </c>
      <c r="AP16" s="2">
        <v>8.6999999999999993</v>
      </c>
      <c r="AQ16" s="2">
        <v>7.7</v>
      </c>
      <c r="AR16" s="2">
        <v>8.9</v>
      </c>
      <c r="AS16" s="2">
        <v>4.7</v>
      </c>
      <c r="AT16" s="2">
        <v>3.2</v>
      </c>
      <c r="AU16" s="2">
        <f>SUM(AF16:AT16)</f>
        <v>590.30000000000018</v>
      </c>
      <c r="AV16" s="2" t="s">
        <v>52</v>
      </c>
      <c r="AW16" s="2" t="s">
        <v>51</v>
      </c>
      <c r="AX16" s="2">
        <v>1.4679999999999999E-4</v>
      </c>
      <c r="AY16" s="2">
        <v>1.5249999999999999E-4</v>
      </c>
      <c r="AZ16" s="2">
        <v>6.03</v>
      </c>
    </row>
    <row r="17" spans="1:52" x14ac:dyDescent="0.25">
      <c r="A17" s="2" t="b">
        <v>0</v>
      </c>
      <c r="B17" s="2" t="s">
        <v>51</v>
      </c>
      <c r="C17" s="2" t="s">
        <v>101</v>
      </c>
      <c r="D17" s="2" t="s">
        <v>102</v>
      </c>
      <c r="E17" s="2" t="b">
        <v>0</v>
      </c>
      <c r="F17" s="2">
        <v>1.5402799999999999E-2</v>
      </c>
      <c r="G17" s="2">
        <v>1.44491E-3</v>
      </c>
      <c r="H17" s="2">
        <v>2</v>
      </c>
      <c r="I17" s="2">
        <v>2</v>
      </c>
      <c r="J17" s="2">
        <v>1</v>
      </c>
      <c r="K17" s="2">
        <v>1</v>
      </c>
      <c r="L17" s="2" t="s">
        <v>103</v>
      </c>
      <c r="M17" s="2" t="s">
        <v>104</v>
      </c>
      <c r="N17" s="2" t="s">
        <v>105</v>
      </c>
      <c r="O17" s="2">
        <v>1</v>
      </c>
      <c r="P17" s="2">
        <v>2304.1404600000001</v>
      </c>
      <c r="Q17" s="2">
        <v>133</v>
      </c>
      <c r="R17" s="2">
        <v>405.4</v>
      </c>
      <c r="S17" s="2">
        <v>363.9</v>
      </c>
      <c r="T17" s="2">
        <v>1103.8</v>
      </c>
      <c r="U17" s="2">
        <v>201.8</v>
      </c>
      <c r="V17" s="2">
        <v>182.7</v>
      </c>
      <c r="W17" s="2">
        <v>145</v>
      </c>
      <c r="X17" s="2">
        <v>206.5</v>
      </c>
      <c r="Y17" s="2">
        <v>212.2</v>
      </c>
      <c r="Z17" s="2">
        <v>100.3</v>
      </c>
      <c r="AA17" s="2">
        <v>99.3</v>
      </c>
      <c r="AB17" s="2">
        <v>320.89999999999998</v>
      </c>
      <c r="AC17" s="2">
        <v>221.5</v>
      </c>
      <c r="AD17" s="2">
        <v>490.2</v>
      </c>
      <c r="AE17" s="2">
        <v>132.80000000000001</v>
      </c>
      <c r="AF17" s="2">
        <v>38.799999999999997</v>
      </c>
      <c r="AG17" s="2">
        <v>405.4</v>
      </c>
      <c r="AH17" s="2">
        <v>36.5</v>
      </c>
      <c r="AI17" s="2">
        <v>163.1</v>
      </c>
      <c r="AJ17" s="2">
        <v>29.1</v>
      </c>
      <c r="AK17" s="2">
        <v>17.100000000000001</v>
      </c>
      <c r="AL17" s="2">
        <v>15.6</v>
      </c>
      <c r="AM17" s="2">
        <v>16.399999999999999</v>
      </c>
      <c r="AN17" s="2">
        <v>30.5</v>
      </c>
      <c r="AO17" s="2">
        <v>21</v>
      </c>
      <c r="AP17" s="2">
        <v>4.3</v>
      </c>
      <c r="AQ17" s="2">
        <v>12.1</v>
      </c>
      <c r="AR17" s="2">
        <v>8.6</v>
      </c>
      <c r="AS17" s="2">
        <v>13.5</v>
      </c>
      <c r="AT17" s="2">
        <v>3.4</v>
      </c>
      <c r="AU17" s="2">
        <f>SUM(AF17:AT17)</f>
        <v>815.4</v>
      </c>
      <c r="AV17" s="2" t="s">
        <v>82</v>
      </c>
      <c r="AW17" s="2" t="s">
        <v>51</v>
      </c>
      <c r="AX17" s="2">
        <v>1.418E-3</v>
      </c>
      <c r="AY17" s="2">
        <v>1.268E-2</v>
      </c>
      <c r="AZ17" s="2">
        <v>2.25</v>
      </c>
    </row>
    <row r="18" spans="1:52" x14ac:dyDescent="0.25">
      <c r="A18" s="2" t="b">
        <v>0</v>
      </c>
      <c r="B18" s="2" t="s">
        <v>51</v>
      </c>
      <c r="C18" s="2" t="s">
        <v>136</v>
      </c>
      <c r="D18" s="2" t="s">
        <v>137</v>
      </c>
      <c r="E18" s="2" t="b">
        <v>0</v>
      </c>
      <c r="F18" s="2">
        <v>0.102975</v>
      </c>
      <c r="G18" s="2">
        <v>8.1388099999999998E-3</v>
      </c>
      <c r="H18" s="2">
        <v>1</v>
      </c>
      <c r="I18" s="2">
        <v>1</v>
      </c>
      <c r="J18" s="2">
        <v>1</v>
      </c>
      <c r="K18" s="2">
        <v>1</v>
      </c>
      <c r="L18" s="2" t="s">
        <v>138</v>
      </c>
      <c r="M18" s="2" t="s">
        <v>139</v>
      </c>
      <c r="N18" s="2" t="s">
        <v>140</v>
      </c>
      <c r="O18" s="2">
        <v>2</v>
      </c>
      <c r="P18" s="2">
        <v>2282.4353500000002</v>
      </c>
      <c r="Q18" s="2">
        <v>390.5</v>
      </c>
      <c r="R18" s="2">
        <v>318.3</v>
      </c>
      <c r="S18" s="2">
        <v>404.8</v>
      </c>
      <c r="T18" s="2">
        <v>370.4</v>
      </c>
      <c r="U18" s="2">
        <v>437.6</v>
      </c>
      <c r="V18" s="2">
        <v>461.9</v>
      </c>
      <c r="W18" s="2">
        <v>232.6</v>
      </c>
      <c r="X18" s="2">
        <v>340.8</v>
      </c>
      <c r="Y18" s="2">
        <v>175.2</v>
      </c>
      <c r="Z18" s="2">
        <v>434.9</v>
      </c>
      <c r="AA18" s="2">
        <v>372.6</v>
      </c>
      <c r="AB18" s="2">
        <v>434</v>
      </c>
      <c r="AC18" s="2">
        <v>284.3</v>
      </c>
      <c r="AD18" s="2">
        <v>195.7</v>
      </c>
      <c r="AE18" s="2">
        <v>379.1</v>
      </c>
      <c r="AF18" s="2">
        <v>113.9</v>
      </c>
      <c r="AG18" s="2">
        <v>318.3</v>
      </c>
      <c r="AH18" s="2">
        <v>40.5</v>
      </c>
      <c r="AI18" s="2">
        <v>54.7</v>
      </c>
      <c r="AJ18" s="2">
        <v>63.1</v>
      </c>
      <c r="AK18" s="2">
        <v>43.1</v>
      </c>
      <c r="AL18" s="2">
        <v>25</v>
      </c>
      <c r="AM18" s="2">
        <v>27</v>
      </c>
      <c r="AN18" s="2">
        <v>25.2</v>
      </c>
      <c r="AO18" s="2">
        <v>90.9</v>
      </c>
      <c r="AP18" s="2">
        <v>16.3</v>
      </c>
      <c r="AQ18" s="2">
        <v>16.3</v>
      </c>
      <c r="AR18" s="2">
        <v>11.1</v>
      </c>
      <c r="AS18" s="2">
        <v>5.4</v>
      </c>
      <c r="AT18" s="2">
        <v>9.8000000000000007</v>
      </c>
      <c r="AU18" s="2">
        <f>SUM(AF18:AT18)</f>
        <v>860.6</v>
      </c>
      <c r="AV18" s="2" t="s">
        <v>52</v>
      </c>
      <c r="AW18" s="2" t="s">
        <v>51</v>
      </c>
      <c r="AX18" s="2">
        <v>7.1009999999999997E-3</v>
      </c>
      <c r="AY18" s="2">
        <v>8.7050000000000002E-2</v>
      </c>
      <c r="AZ18" s="2">
        <v>2.4</v>
      </c>
    </row>
    <row r="19" spans="1:52" x14ac:dyDescent="0.25">
      <c r="A19" s="2" t="b">
        <v>0</v>
      </c>
      <c r="B19" s="2" t="s">
        <v>51</v>
      </c>
      <c r="C19" s="2" t="s">
        <v>126</v>
      </c>
      <c r="D19" s="2" t="s">
        <v>127</v>
      </c>
      <c r="E19" s="2" t="b">
        <v>0</v>
      </c>
      <c r="F19" s="2">
        <v>6.3354699999999998E-5</v>
      </c>
      <c r="G19" s="2">
        <v>8.4858000000000006E-5</v>
      </c>
      <c r="H19" s="2">
        <v>1</v>
      </c>
      <c r="I19" s="2">
        <v>1</v>
      </c>
      <c r="J19" s="2">
        <v>1</v>
      </c>
      <c r="K19" s="2">
        <v>1</v>
      </c>
      <c r="L19" s="2" t="s">
        <v>128</v>
      </c>
      <c r="M19" s="2" t="s">
        <v>129</v>
      </c>
      <c r="N19" s="2" t="s">
        <v>130</v>
      </c>
      <c r="O19" s="2">
        <v>0</v>
      </c>
      <c r="P19" s="2">
        <v>2236.1506300000001</v>
      </c>
      <c r="Q19" s="2">
        <v>145.80000000000001</v>
      </c>
      <c r="R19" s="2">
        <v>659.6</v>
      </c>
      <c r="S19" s="2">
        <v>238</v>
      </c>
      <c r="T19" s="2" t="s">
        <v>52</v>
      </c>
      <c r="U19" s="2">
        <v>158.5</v>
      </c>
      <c r="V19" s="2">
        <v>256.7</v>
      </c>
      <c r="W19" s="2">
        <v>306.7</v>
      </c>
      <c r="X19" s="2">
        <v>251.4</v>
      </c>
      <c r="Y19" s="2">
        <v>331.5</v>
      </c>
      <c r="Z19" s="2">
        <v>318.7</v>
      </c>
      <c r="AA19" s="2">
        <v>186.4</v>
      </c>
      <c r="AB19" s="2">
        <v>168.2</v>
      </c>
      <c r="AC19" s="2">
        <v>132.1</v>
      </c>
      <c r="AD19" s="2">
        <v>246.4</v>
      </c>
      <c r="AE19" s="2">
        <v>166.2</v>
      </c>
      <c r="AF19" s="2">
        <v>42.5</v>
      </c>
      <c r="AG19" s="2">
        <v>659.6</v>
      </c>
      <c r="AH19" s="2">
        <v>23.8</v>
      </c>
      <c r="AI19" s="2" t="s">
        <v>52</v>
      </c>
      <c r="AJ19" s="2">
        <v>22.9</v>
      </c>
      <c r="AK19" s="2">
        <v>24</v>
      </c>
      <c r="AL19" s="2">
        <v>32.9</v>
      </c>
      <c r="AM19" s="2">
        <v>19.899999999999999</v>
      </c>
      <c r="AN19" s="2">
        <v>47.7</v>
      </c>
      <c r="AO19" s="2">
        <v>66.599999999999994</v>
      </c>
      <c r="AP19" s="2">
        <v>8.1</v>
      </c>
      <c r="AQ19" s="2">
        <v>6.3</v>
      </c>
      <c r="AR19" s="2">
        <v>5.0999999999999996</v>
      </c>
      <c r="AS19" s="2">
        <v>6.8</v>
      </c>
      <c r="AT19" s="2">
        <v>4.3</v>
      </c>
      <c r="AU19" s="2">
        <f>SUM(AF19:AT19)</f>
        <v>970.49999999999989</v>
      </c>
      <c r="AV19" s="2" t="s">
        <v>52</v>
      </c>
      <c r="AW19" s="2" t="s">
        <v>51</v>
      </c>
      <c r="AX19" s="2">
        <v>1.4679999999999999E-4</v>
      </c>
      <c r="AY19" s="2">
        <v>5.6190000000000002E-5</v>
      </c>
      <c r="AZ19" s="2">
        <v>5.3</v>
      </c>
    </row>
    <row r="20" spans="1:52" x14ac:dyDescent="0.25">
      <c r="A20" s="2" t="b">
        <v>0</v>
      </c>
      <c r="B20" s="2" t="s">
        <v>51</v>
      </c>
      <c r="C20" s="2" t="s">
        <v>53</v>
      </c>
      <c r="D20" s="2" t="s">
        <v>54</v>
      </c>
      <c r="E20" s="2" t="b">
        <v>0</v>
      </c>
      <c r="F20" s="2">
        <v>5.3794599999999998E-4</v>
      </c>
      <c r="G20" s="2">
        <v>1.9472099999999999E-4</v>
      </c>
      <c r="H20" s="2">
        <v>1</v>
      </c>
      <c r="I20" s="2">
        <v>1</v>
      </c>
      <c r="J20" s="2">
        <v>1</v>
      </c>
      <c r="K20" s="2">
        <v>2</v>
      </c>
      <c r="L20" s="2" t="s">
        <v>55</v>
      </c>
      <c r="M20" s="2" t="s">
        <v>56</v>
      </c>
      <c r="N20" s="2" t="s">
        <v>57</v>
      </c>
      <c r="O20" s="2">
        <v>0</v>
      </c>
      <c r="P20" s="2">
        <v>1812.88525</v>
      </c>
      <c r="Q20" s="2">
        <v>178.1</v>
      </c>
      <c r="R20" s="2">
        <v>630.6</v>
      </c>
      <c r="S20" s="2">
        <v>379.8</v>
      </c>
      <c r="T20" s="2">
        <v>191.8</v>
      </c>
      <c r="U20" s="2">
        <v>285.60000000000002</v>
      </c>
      <c r="V20" s="2">
        <v>281.5</v>
      </c>
      <c r="W20" s="2">
        <v>286.8</v>
      </c>
      <c r="X20" s="2">
        <v>184.7</v>
      </c>
      <c r="Y20" s="2">
        <v>401.5</v>
      </c>
      <c r="Z20" s="2">
        <v>175</v>
      </c>
      <c r="AA20" s="2">
        <v>334.8</v>
      </c>
      <c r="AB20" s="2">
        <v>308.3</v>
      </c>
      <c r="AC20" s="2">
        <v>369.9</v>
      </c>
      <c r="AD20" s="2">
        <v>439</v>
      </c>
      <c r="AE20" s="2">
        <v>233.4</v>
      </c>
      <c r="AF20" s="2">
        <v>51.9</v>
      </c>
      <c r="AG20" s="2">
        <v>630.6</v>
      </c>
      <c r="AH20" s="2">
        <v>38</v>
      </c>
      <c r="AI20" s="2">
        <v>28.4</v>
      </c>
      <c r="AJ20" s="2">
        <v>41.2</v>
      </c>
      <c r="AK20" s="2">
        <v>26.3</v>
      </c>
      <c r="AL20" s="2">
        <v>30.8</v>
      </c>
      <c r="AM20" s="2">
        <v>14.6</v>
      </c>
      <c r="AN20" s="2">
        <v>57.8</v>
      </c>
      <c r="AO20" s="2">
        <v>36.5</v>
      </c>
      <c r="AP20" s="2">
        <v>14.6</v>
      </c>
      <c r="AQ20" s="2">
        <v>11.6</v>
      </c>
      <c r="AR20" s="2">
        <v>14.4</v>
      </c>
      <c r="AS20" s="2">
        <v>12.1</v>
      </c>
      <c r="AT20" s="2">
        <v>6</v>
      </c>
      <c r="AU20" s="2">
        <f>SUM(AF20:AT20)</f>
        <v>1014.8</v>
      </c>
      <c r="AV20" s="2" t="s">
        <v>52</v>
      </c>
      <c r="AW20" s="2" t="s">
        <v>51</v>
      </c>
      <c r="AX20" s="2">
        <v>2.1340000000000001E-4</v>
      </c>
      <c r="AY20" s="2">
        <v>4.7189999999999998E-4</v>
      </c>
      <c r="AZ20" s="2">
        <v>3.72</v>
      </c>
    </row>
    <row r="21" spans="1:52" x14ac:dyDescent="0.25">
      <c r="A21" s="2" t="b">
        <v>0</v>
      </c>
      <c r="B21" s="2" t="s">
        <v>51</v>
      </c>
      <c r="C21" s="2" t="s">
        <v>77</v>
      </c>
      <c r="D21" s="2" t="s">
        <v>78</v>
      </c>
      <c r="E21" s="2" t="b">
        <v>0</v>
      </c>
      <c r="F21" s="2">
        <v>3.8754900000000002E-2</v>
      </c>
      <c r="G21" s="2">
        <v>3.3477400000000001E-3</v>
      </c>
      <c r="H21" s="2">
        <v>1</v>
      </c>
      <c r="I21" s="2">
        <v>1</v>
      </c>
      <c r="J21" s="2">
        <v>1</v>
      </c>
      <c r="K21" s="2">
        <v>1</v>
      </c>
      <c r="L21" s="2" t="s">
        <v>79</v>
      </c>
      <c r="M21" s="2" t="s">
        <v>80</v>
      </c>
      <c r="N21" s="2" t="s">
        <v>81</v>
      </c>
      <c r="O21" s="2">
        <v>1</v>
      </c>
      <c r="P21" s="2">
        <v>1988.0345400000001</v>
      </c>
      <c r="Q21" s="2">
        <v>723.2</v>
      </c>
      <c r="R21" s="2">
        <v>357.4</v>
      </c>
      <c r="S21" s="2">
        <v>930.4</v>
      </c>
      <c r="T21" s="2">
        <v>2661.4</v>
      </c>
      <c r="U21" s="2">
        <v>651.9</v>
      </c>
      <c r="V21" s="2">
        <v>18.2</v>
      </c>
      <c r="W21" s="2">
        <v>264.7</v>
      </c>
      <c r="X21" s="2">
        <v>242.2</v>
      </c>
      <c r="Y21" s="2">
        <v>466.7</v>
      </c>
      <c r="Z21" s="2">
        <v>203.9</v>
      </c>
      <c r="AA21" s="2">
        <v>320.89999999999998</v>
      </c>
      <c r="AB21" s="2">
        <v>891</v>
      </c>
      <c r="AC21" s="2">
        <v>448.8</v>
      </c>
      <c r="AD21" s="2">
        <v>1002</v>
      </c>
      <c r="AE21" s="2">
        <v>173.8</v>
      </c>
      <c r="AF21" s="2">
        <v>210.9</v>
      </c>
      <c r="AG21" s="2">
        <v>357.4</v>
      </c>
      <c r="AH21" s="2">
        <v>93.2</v>
      </c>
      <c r="AI21" s="2">
        <v>393.3</v>
      </c>
      <c r="AJ21" s="2">
        <v>94.1</v>
      </c>
      <c r="AK21" s="2">
        <v>1.7</v>
      </c>
      <c r="AL21" s="2">
        <v>28.4</v>
      </c>
      <c r="AM21" s="2">
        <v>19.2</v>
      </c>
      <c r="AN21" s="2">
        <v>67.2</v>
      </c>
      <c r="AO21" s="2">
        <v>42.6</v>
      </c>
      <c r="AP21" s="2">
        <v>14</v>
      </c>
      <c r="AQ21" s="2">
        <v>33.5</v>
      </c>
      <c r="AR21" s="2">
        <v>17.5</v>
      </c>
      <c r="AS21" s="2">
        <v>27.5</v>
      </c>
      <c r="AT21" s="2">
        <v>4.5</v>
      </c>
      <c r="AU21" s="2">
        <f>SUM(AF21:AT21)</f>
        <v>1405</v>
      </c>
      <c r="AV21" s="2" t="s">
        <v>52</v>
      </c>
      <c r="AW21" s="2" t="s">
        <v>51</v>
      </c>
      <c r="AX21" s="2">
        <v>2.872E-3</v>
      </c>
      <c r="AY21" s="2">
        <v>3.1730000000000001E-2</v>
      </c>
      <c r="AZ21" s="2">
        <v>2.85</v>
      </c>
    </row>
  </sheetData>
  <autoFilter ref="A1:AZ1" xr:uid="{C91FECAF-B536-4419-A3C6-59165E12DDFE}">
    <sortState xmlns:xlrd2="http://schemas.microsoft.com/office/spreadsheetml/2017/richdata2" ref="A2:AZ41">
      <sortCondition ref="AU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</dc:creator>
  <cp:lastModifiedBy>Predator</cp:lastModifiedBy>
  <dcterms:created xsi:type="dcterms:W3CDTF">2021-05-28T10:34:51Z</dcterms:created>
  <dcterms:modified xsi:type="dcterms:W3CDTF">2021-05-28T10:37:32Z</dcterms:modified>
</cp:coreProperties>
</file>